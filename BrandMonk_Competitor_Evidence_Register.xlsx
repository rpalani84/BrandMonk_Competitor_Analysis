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rpala\BrandMonk_Projects\Competitor_Analysis_Agent\"/>
    </mc:Choice>
  </mc:AlternateContent>
  <xr:revisionPtr revIDLastSave="0" documentId="8_{EBB70624-0E94-4536-A1C4-B9636B17E48A}" xr6:coauthVersionLast="47" xr6:coauthVersionMax="47" xr10:uidLastSave="{00000000-0000-0000-0000-000000000000}"/>
  <bookViews>
    <workbookView xWindow="-108" yWindow="-108" windowWidth="23256" windowHeight="12456" activeTab="1" xr2:uid="{88B27705-68EE-4CA3-8F42-520961B2BB03}"/>
  </bookViews>
  <sheets>
    <sheet name="Company Ratings" sheetId="1" r:id="rId1"/>
    <sheet name="Course Register" sheetId="2" r:id="rId2"/>
    <sheet name="Verification Tasks" sheetId="3" r:id="rId3"/>
  </sheets>
  <definedNames>
    <definedName name="_xlnm._FilterDatabase" localSheetId="1" hidden="1">'Course Register'!$A$1:$H$26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2" l="1" a="1"/>
  <c r="H4" i="2" a="1"/>
  <c r="H5" i="2" a="1"/>
  <c r="H6" i="2" a="1"/>
  <c r="H7" i="2" a="1"/>
  <c r="H8" i="2" a="1"/>
  <c r="H9" i="2" a="1"/>
  <c r="H10" i="2" a="1"/>
  <c r="H11" i="2" a="1"/>
  <c r="H12" i="2" a="1"/>
  <c r="H13" i="2" a="1"/>
  <c r="H14" i="2" a="1"/>
  <c r="H15" i="2" a="1"/>
  <c r="H16" i="2" a="1"/>
  <c r="H17" i="2" a="1"/>
  <c r="H18" i="2" a="1"/>
  <c r="H19" i="2" a="1"/>
  <c r="H20" i="2" a="1"/>
  <c r="H21" i="2" a="1"/>
  <c r="H22" i="2" a="1"/>
  <c r="H23" i="2" a="1"/>
  <c r="H24" i="2" a="1"/>
  <c r="H25" i="2" a="1"/>
  <c r="H26" i="2" a="1"/>
  <c r="H2" i="2" a="1"/>
  <c r="K3" i="1" a="1"/>
  <c r="K4" i="1" a="1"/>
  <c r="K5" i="1" a="1"/>
  <c r="K6" i="1" a="1"/>
  <c r="K7" i="1" a="1"/>
  <c r="K8" i="1" a="1"/>
  <c r="K9" i="1" a="1"/>
  <c r="K10" i="1" a="1"/>
  <c r="K11" i="1" a="1"/>
  <c r="K12" i="1" a="1"/>
  <c r="K2" i="1" a="1"/>
  <c r="L3" i="1" a="1"/>
  <c r="L4" i="1" a="1"/>
  <c r="L5" i="1" a="1"/>
  <c r="L6" i="1" a="1"/>
  <c r="L7" i="1" a="1"/>
  <c r="L8" i="1" a="1"/>
  <c r="L9" i="1" a="1"/>
  <c r="L10" i="1" a="1"/>
  <c r="L11" i="1" a="1"/>
  <c r="L12" i="1" a="1"/>
  <c r="L2" i="1" a="1"/>
  <c r="J3" i="1"/>
  <c r="J4" i="1"/>
  <c r="J5" i="1"/>
  <c r="J6" i="1"/>
  <c r="J7" i="1"/>
  <c r="J8" i="1"/>
  <c r="J9" i="1"/>
  <c r="J10" i="1"/>
  <c r="J11" i="1"/>
  <c r="J12" i="1"/>
  <c r="J2" i="1"/>
  <c r="I3" i="1"/>
  <c r="I4" i="1"/>
  <c r="I5" i="1"/>
  <c r="I6" i="1"/>
  <c r="I7" i="1"/>
  <c r="I8" i="1"/>
  <c r="I9" i="1"/>
  <c r="I10" i="1"/>
  <c r="I11" i="1"/>
  <c r="I12" i="1"/>
  <c r="I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<sst xmlns="http://schemas.openxmlformats.org/spreadsheetml/2006/main" count="316" uniqueCount="214">
  <si>
    <t>Verification item</t>
  </si>
  <si>
    <t>Current status</t>
  </si>
  <si>
    <t>Required action</t>
  </si>
  <si>
    <t>Confirm Full Stack course availability at both campuses</t>
  </si>
  <si>
    <t>Pending verification</t>
  </si>
  <si>
    <t>Check official course pages or obtain written confirmation</t>
  </si>
  <si>
    <t>Obtain current fee sheets</t>
  </si>
  <si>
    <t>Request current fee details from each provider</t>
  </si>
  <si>
    <t>Confirm duration and delivery mode by course and city</t>
  </si>
  <si>
    <t>Record classroom, online or hybrid mode separately</t>
  </si>
  <si>
    <t>Obtain official syllabus documents</t>
  </si>
  <si>
    <t>Save the syllabus URL or document for each relevant course</t>
  </si>
  <si>
    <t>Confirm pay, eligibility, hours and deliverables</t>
  </si>
  <si>
    <t>Use only where relevant to the competitor-analysis scope</t>
  </si>
  <si>
    <t>Request cohort-level employment data</t>
  </si>
  <si>
    <t>Record the cohort, period, denominator and source if supplied</t>
  </si>
  <si>
    <t>Check official pages or obtain written quotations</t>
  </si>
  <si>
    <t>Resolve conflicting prices and unclear claims</t>
  </si>
  <si>
    <t>Verify review-platform profiles</t>
  </si>
  <si>
    <t>Match company, branch and city before recording ratings</t>
  </si>
  <si>
    <t>Record verification date</t>
  </si>
  <si>
    <t>Add the date each source was actually checked</t>
  </si>
  <si>
    <t>City</t>
  </si>
  <si>
    <t>Course</t>
  </si>
  <si>
    <t>Competitor</t>
  </si>
  <si>
    <t>Published fee / duration</t>
  </si>
  <si>
    <t>Official URL</t>
  </si>
  <si>
    <t>Record review status</t>
  </si>
  <si>
    <t>Coimbatore</t>
  </si>
  <si>
    <t>Digital Marketing</t>
  </si>
  <si>
    <t>CIIM</t>
  </si>
  <si>
    <t>https://www.ciim.in/digital-marketing-course-in-coimbatore/</t>
  </si>
  <si>
    <t>Chennai</t>
  </si>
  <si>
    <t>https://www.ciim.in/digital-marketing-course-in-chennai/</t>
  </si>
  <si>
    <t>Digital Scholar</t>
  </si>
  <si>
    <t>https://digitalscholar.in/</t>
  </si>
  <si>
    <t>Data Analytics</t>
  </si>
  <si>
    <t>LearnMore Technologies</t>
  </si>
  <si>
    <t>https://learnmoretechnologies.in/locations/coimbatore/data-analytics-course</t>
  </si>
  <si>
    <t>Coimbatore and Chennai</t>
  </si>
  <si>
    <t>Study Giant Academy</t>
  </si>
  <si>
    <t>https://studygiantacademy.com/our-branches-and-courses</t>
  </si>
  <si>
    <t>upGrad Learning Centre</t>
  </si>
  <si>
    <t>https://upgradcoimbatore.in/</t>
  </si>
  <si>
    <t>UI/UX Design</t>
  </si>
  <si>
    <t>Yale Infotech</t>
  </si>
  <si>
    <t>https://www.yaleinfotech.com/course/best-ui-ux-designer-course-in-coimbatore/</t>
  </si>
  <si>
    <t>TSDC / Traijo</t>
  </si>
  <si>
    <t>https://traijoedu.in/courses/uiux-design/</t>
  </si>
  <si>
    <t>https://www.icat.ac.in/chennai/pg-ui-ux-design-course-college.aspx</t>
  </si>
  <si>
    <t>AI / Agentic AI</t>
  </si>
  <si>
    <t>https://www.yaleinfotech.com/course/best-artificial-intelligence-course-in-coimbatore/</t>
  </si>
  <si>
    <t>AIRA Global Tech</t>
  </si>
  <si>
    <t>https://www.airaglobaltech.com/training-institute-in-coimbatore</t>
  </si>
  <si>
    <t>CPLC</t>
  </si>
  <si>
    <t>https://www.cplc.in/</t>
  </si>
  <si>
    <t>Aurobotix Systems</t>
  </si>
  <si>
    <t>https://www.aurobotixsystems.com/courses/ai-agents-course-chennai/</t>
  </si>
  <si>
    <t>Mathyas AI Solutions</t>
  </si>
  <si>
    <t>https://mathyasai.com/agentic-ai-course.php</t>
  </si>
  <si>
    <t>Video Editing</t>
  </si>
  <si>
    <t>Fulcrum Creative School</t>
  </si>
  <si>
    <t>https://www.fulcrumtechcbe.com/video-editing-training-centre-near-me.php</t>
  </si>
  <si>
    <t>https://lvpcollege.edu.in/certificate-programs-2/editing-colour-grading-chennai/</t>
  </si>
  <si>
    <t>Lumiere Institute</t>
  </si>
  <si>
    <t>https://www.lifm.in/course/film-editing-post-production/</t>
  </si>
  <si>
    <t>Full Stack Development</t>
  </si>
  <si>
    <t>https://www.yaleinfotech.com/course/best-full-stack-course-in-coimbatore/</t>
  </si>
  <si>
    <t>Navam Academy</t>
  </si>
  <si>
    <t>https://navamacademy.com/programs/full-stack-developer-course-chennai/</t>
  </si>
  <si>
    <t>U2 Tech Academy</t>
  </si>
  <si>
    <t>https://u2techacademy.com/</t>
  </si>
  <si>
    <t>VersionX</t>
  </si>
  <si>
    <t>https://theversionx.com/programs/</t>
  </si>
  <si>
    <t>Company</t>
  </si>
  <si>
    <t>Platform / source type</t>
  </si>
  <si>
    <t>Rating</t>
  </si>
  <si>
    <t>Review count</t>
  </si>
  <si>
    <t>Primary source URL</t>
  </si>
  <si>
    <t>Verification status</t>
  </si>
  <si>
    <t>Notes</t>
  </si>
  <si>
    <t>Official website / testimonials</t>
  </si>
  <si>
    <t>4.9/5 (company-published claim)</t>
  </si>
  <si>
    <t>3,200+ (company-published claim)</t>
  </si>
  <si>
    <t>https://learnmoretechnologies.in/testimonials</t>
  </si>
  <si>
    <t>Company-published claim; independent profile not verified</t>
  </si>
  <si>
    <t>Website describes its rating as Google and platform rating; confirm the correct local business profile before comparing</t>
  </si>
  <si>
    <t>Google rating reported by Localo</t>
  </si>
  <si>
    <t>4.9/5</t>
  </si>
  <si>
    <t>https://yale-infotech-coimbatore.localo.site/</t>
  </si>
  <si>
    <t>Third-party reported; direct Google profile verification pending</t>
  </si>
  <si>
    <t>Reported listing is for Yale Infotech Coimbatore; confirm business identity</t>
  </si>
  <si>
    <t>Google reviews reported by Collegedunia</t>
  </si>
  <si>
    <t>4.7/5</t>
  </si>
  <si>
    <t>https://collegedunia.com/institute/3894-digital-scholar-digital-marketing-training-institute-chennai/google-reviews</t>
  </si>
  <si>
    <t>Third-party reported; current profile verification pending</t>
  </si>
  <si>
    <t>Keep separate from Trustpilot rating</t>
  </si>
  <si>
    <t>Trustpilot</t>
  </si>
  <si>
    <t>3.6/5</t>
  </si>
  <si>
    <t>https://www.trustpilot.com/review/digitalscholar.in</t>
  </si>
  <si>
    <t>Source page reports these figures; recheck before submission</t>
  </si>
  <si>
    <t>Different platform from Google; do not average the ratings</t>
  </si>
  <si>
    <t>Justdial</t>
  </si>
  <si>
    <t>https://m.justdial.com/jdmart/Chennai/All-Workstation-Programming-Software/pid-803069080/044PXX44-XX44-260422133229-U6Y9</t>
  </si>
  <si>
    <t>Listing found; exact business/course relevance needs confirmation</t>
  </si>
  <si>
    <t>Justdial listing identifies Aurobotix Systems; verify that the profile is appropriate for training-course comparisons</t>
  </si>
  <si>
    <t>Official website</t>
  </si>
  <si>
    <t>4.9 stars (site claim)</t>
  </si>
  <si>
    <t>Not captured</t>
  </si>
  <si>
    <t>https://fulcrumtechcbe.com/</t>
  </si>
  <si>
    <t>Company-published claim; review count pending</t>
  </si>
  <si>
    <t>Do not interpret the site claim as independently verified</t>
  </si>
  <si>
    <t>https://www.justdial.com/Coimbatore/Fulcrum-Creative-School-Animation-Courses-In-Gandhipuram/0422PX422-X422-250813153334-G5P9</t>
  </si>
  <si>
    <t>Confirm correct listing and current count</t>
  </si>
  <si>
    <t>ICAT Design and Media College</t>
  </si>
  <si>
    <t>Google rating reported by Collegedunia</t>
  </si>
  <si>
    <t>4.1/5</t>
  </si>
  <si>
    <t>https://collegedunia.com/institute/4451-icat-design-and-media-college-chennai</t>
  </si>
  <si>
    <t>Use as a platform-specific rating lead, not an official college rating</t>
  </si>
  <si>
    <t>3.8/5</t>
  </si>
  <si>
    <t>https://www.justdial.com/Chennai/ICAT-Design-And-Media-College-Opposite-St-Beds-School-Mylapore/044PF009779_BZDET/reviews</t>
  </si>
  <si>
    <t>Keep separate from Google rating</t>
  </si>
  <si>
    <t>L. V. Prasad College of Media Studies</t>
  </si>
  <si>
    <t>4.3/5</t>
  </si>
  <si>
    <t>https://www.justdial.com/Chennai/L-V-Prasad-College-Of-Media-Studies-Inside-Prasad-Studios-Saligramam/044PXX44-XX44-090624174838-K2C9_BZDET/reviews</t>
  </si>
  <si>
    <t>Confirm that this is the relevant college profile</t>
  </si>
  <si>
    <t>Not verified</t>
  </si>
  <si>
    <t>https://www.airaglobaltech.com/</t>
  </si>
  <si>
    <t>Numerical rating not verified in the earlier homepage check</t>
  </si>
  <si>
    <t>Do not enter zero; check the correct independent review profiles</t>
  </si>
  <si>
    <t>Company Rating</t>
  </si>
  <si>
    <t>Review Notes</t>
  </si>
  <si>
    <t>Confirm CIIM Digital Marketing course duration</t>
  </si>
  <si>
    <t>Resolve the 3–4 month wording conflict using the official course page</t>
  </si>
  <si>
    <t>Confirm competitor course fees</t>
  </si>
  <si>
    <t>Record published fees or mark fee as not disclosed</t>
  </si>
  <si>
    <t>Confirm course delivery mode</t>
  </si>
  <si>
    <t>Check whether each course is online, classroom-based, or hybrid</t>
  </si>
  <si>
    <t>Verify company ratings and review counts</t>
  </si>
  <si>
    <t>Confirm the correct business profile and current platform figures</t>
  </si>
  <si>
    <t>Verify official source URLs</t>
  </si>
  <si>
    <t>Check that each link opens and refers to the listed competitor/course</t>
  </si>
  <si>
    <t>Fee not confirmed; exact program and duration need confirmation</t>
  </si>
  <si>
    <t>Fee not disclosed on city page; 4 months for advertised Advanced Digital Marketing &amp; AI Certification; classroom/online options</t>
  </si>
  <si>
    <t>₹69,999 including GST; 4 months; live online; additional project/tool costs may apply</t>
  </si>
  <si>
    <t>Total fee to confirm; 4-month in-person program plus separate 2-month paid internship</t>
  </si>
  <si>
    <t>Official course details need confirmation</t>
  </si>
  <si>
    <t>Duration found on official page; fee confirmation pending</t>
  </si>
  <si>
    <t>Official online course details found; confirm comparison format</t>
  </si>
  <si>
    <t>Official program details found; confirm total fee and internship terms</t>
  </si>
  <si>
    <t>₹99,999; 4 months; offline</t>
  </si>
  <si>
    <t>Fee and duration published; confirm current offer</t>
  </si>
  <si>
    <t>Duration and modes published; confirm fee by city</t>
  </si>
  <si>
    <t>Fee not disclosed; typically 2–3 months; online/offline options</t>
  </si>
  <si>
    <t>Fee not disclosed; 8 weeks / 60 hours</t>
  </si>
  <si>
    <t>Duration published; confirm fee and delivery mode</t>
  </si>
  <si>
    <t>Confirm current course availability, published fee and actual delivery mode for the Coimbatore branch.</t>
  </si>
  <si>
    <t>Confirm fee, duration and delivery mode separately for Coimbatore and Chennai; the published duration may vary by batch.</t>
  </si>
  <si>
    <t>Confirm that the ₹99,999 fee and four-month duration remain current, and verify the next Coimbatore batch and delivery format.</t>
  </si>
  <si>
    <t>Confirm the exact Digital Marketing program offered in Coimbatore, its current fee, duration, and delivery mode. CIIM lists multiple Digital Marketing programs with different durations and prices; do not assume the general catalogue price applies to this branch. Official course catalogue.</t>
  </si>
  <si>
    <t>The official Chennai page advertises a four-month Advanced Digital Marketing &amp; AI Certification with classroom and online options. Fee is not clearly disclosed on the city page. Confirm the current fee and batch availability with admissions.</t>
  </si>
  <si>
    <t>The official Chennai course page lists ₹69,999 including GST for a four-month program. Advertising budgets, hosting, paid tools, and API credits may incur additional costs. Confirm current fees and any extra charges before finalizing the comparison.</t>
  </si>
  <si>
    <t>₹24,999; 3–4 months (120+ hours); offline/online/weekend options</t>
  </si>
  <si>
    <t>Official fee, duration and delivery options published; confirm current batch and fee</t>
  </si>
  <si>
    <t>Confirm the current fee, instalment terms and available Coimbatore batch. Verify delivery mode and obtain the current syllabus before finalizing.</t>
  </si>
  <si>
    <t>Fee not disclosed; typically 3 months; classroom/online options</t>
  </si>
  <si>
    <t>Duration and delivery options published; fee confirmation pending by city</t>
  </si>
  <si>
    <t>Confirm the current fee and duration for Coimbatore and Chennai separately. Verify the selected batch type, delivery mode and whether fast-track batches have a different fee or duration.</t>
  </si>
  <si>
    <t>₹20,000; 10 weeks; offline/hybrid</t>
  </si>
  <si>
    <t>Official fee, duration and delivery modes published; confirm current offer</t>
  </si>
  <si>
    <t>Confirm that ₹20,000 is the current total fee and ask whether taxes or other charges apply. Verify the next batch, offline/hybrid schedule and certificate conditions.</t>
  </si>
  <si>
    <t>Fee to confirm; 1-year full-time program; graduate eligibility to be confirmed</t>
  </si>
  <si>
    <t>Official program and duration published; current fee and eligibility confirmation pending</t>
  </si>
  <si>
    <t>Confirm current tuition and additional charges, graduate eligibility, intake dates and full-time attendance requirements. Verify the exact qualification awarded before comparing it with short-term certificate courses.</t>
  </si>
  <si>
    <t>₹30,000 is shown in the course facts section, while another fee section on the same page shows ₹24,999. Duration: 3–4 months / 120+ hours. Online, offline and weekend options are advertised.</t>
  </si>
  <si>
    <t>Official duration and delivery options published; conflicting fees require confirmation.</t>
  </si>
  <si>
    <t>The official page displays two different fees: ₹30,000 and ₹24,999. Obtain written confirmation of the current total fee, instalment terms, duration and current batch before recording a single price.</t>
  </si>
  <si>
    <t>₹30,000 standard tuition; 3 months. Classroom and live online options are advertised.</t>
  </si>
  <si>
    <t>Fee, duration and delivery options published; confirm the specific AI program and current batch.</t>
  </si>
  <si>
    <t>The provider lists several AI programs, including Generative AI &amp; Prompt Engineering, AI &amp; Data Science, Machine Learning and AI Full Stack Development. Confirm which program the quoted ₹30,000 fee applies to and whether it specifically covers Agentic AI.</t>
  </si>
  <si>
    <t>Fee varies by individual requirements and must be requested. Typically 2–3 months; online and offline options are advertised. Weekend batches may run longer.</t>
  </si>
  <si>
    <t>Duration and delivery options published; fee confirmation pending by city.</t>
  </si>
  <si>
    <t>Confirm the current fee, syllabus and duration separately for Coimbatore and Chennai. The published AI course includes machine learning and Generative AI topics; confirm whether dedicated Agentic AI development and agent-building projects are included.</t>
  </si>
  <si>
    <t>Fee and duration not confirmed; Applied AI Certification with AWS is advertised, with hands-on projects and placement assistance.</t>
  </si>
  <si>
    <t>Relevant AI program found; exact program, fee and duration need confirmation.</t>
  </si>
  <si>
    <t>Confirm the exact course intended for comparison, its current total fee, duration, delivery mode and syllabus. The available Applied AI page does not establish that the program is specifically an Agentic AI course. Obtain a current course brochure or written quotation.</t>
  </si>
  <si>
    <t>Fee on request; flexible short-term and long-term batches. Classroom in Chennai and live online options are advertised.</t>
  </si>
  <si>
    <t>Agentic AI syllabus and delivery options published; fee and duration confirmation pending.</t>
  </si>
  <si>
    <t>The page covers agent architecture, tool use, multi-agent systems and deployment. Contact admissions to confirm the current fee, exact duration, batch schedule and whether internship support has separate conditions or charges.</t>
  </si>
  <si>
    <t xml:space="preserve">Track A: ₹35,000; Track B (course plus internship): ₹60,000. The page describes a 10–12-week course, also detailed as 12 weeks / 3 months. In-person weekend classes in Sholinganallur, Chennai. </t>
  </si>
  <si>
    <t>Track-specific fees, duration and format published; confirm the next available batch and current terms.</t>
  </si>
  <si>
    <t>Confirm which track is being compared. Track B adds weekday mentorship, a mentored capstone and additional certificates. The page refers to an October 3, 2026 batch date, which has passed; ask for the next batch date and confirm the current fee and refund policy.</t>
  </si>
  <si>
    <t>Fee not disclosed; 6 months (180+ hours); online/offline options</t>
  </si>
  <si>
    <t>Duration and delivery options published; fee confirmation pending</t>
  </si>
  <si>
    <t>Confirm current course fee, batch dates and delivery mode. Verify the syllabus, practical project requirements and placement-support terms before finalizing.</t>
  </si>
  <si>
    <t>Fee varies; obtain current quote; typically 1.5–2 months; online/offline options</t>
  </si>
  <si>
    <t>Confirm fee and duration separately for Coimbatore and Chennai. Verify batch type, software coverage, project work and whether the quoted fee includes all training and certification charges.</t>
  </si>
  <si>
    <t>₹60,000 including taxes; 12 weekends; face-to-face with campus projects</t>
  </si>
  <si>
    <t>Official fee and duration published; registration deadline passed; next intake confirmation pending</t>
  </si>
  <si>
    <t>Confirm whether registration is still available or a new batch has been scheduled. Verify current fee, payment and refund terms, minimum batch size, and certificate conditions.</t>
  </si>
  <si>
    <t>3 months; weekday: ₹1,00,000 + applicable taxes (60 sessions); weekend: ₹75,000 + applicable taxes (24 sessions)</t>
  </si>
  <si>
    <t>Official fee and session counts published; confirm current batch and total payable</t>
  </si>
  <si>
    <t>Confirm current batch dates, applicable taxes and final payable amount. Verify session timings, practical software access, final project requirements and whether any additional charges apply.</t>
  </si>
  <si>
    <t>Confirm the current fee, instalment terms and next available Coimbatore batch. Obtain the latest syllabus and verify whether all advertised projects and placement-support services are included.</t>
  </si>
  <si>
    <t>Fee to confirm; 12 weeks / approximately 180 hours; classroom and lab</t>
  </si>
  <si>
    <t>Official duration and delivery mode published; fee and current batch confirmation pending</t>
  </si>
  <si>
    <t>Request the current total fee, next batch date and payment terms. Confirm the lab schedule, project requirements and whether any additional charges apply.</t>
  </si>
  <si>
    <t>Conflicting advertised fees; obtain written quotation; 12 weeks / 60 working days; classroom</t>
  </si>
  <si>
    <t>Duration and program tracks published; fee discrepancy requires written confirmation</t>
  </si>
  <si>
    <t>The official website displays inconsistent promotional prices. Ask admissions to confirm the current payable fee for each track, the eligibility and expiry of any offer, applicable taxes, payment terms and refund policy. Do not use a single price until confirmed.</t>
  </si>
  <si>
    <t>Fee to confirm for the exact Full Stack Development program; listed programs are 3 months; in-person/online options</t>
  </si>
  <si>
    <t>Program duration and delivery options published; exact course and fee confirmation pending</t>
  </si>
  <si>
    <t>Confirm whether the comparison is for general Full Stack Development or AI Full Stack Development. Request the applicable current fee, syllabus, duration and delivery mode in writing; do not assume the fee for another AIRA program applies.</t>
  </si>
  <si>
    <t>The official website advertises a 4-month, full-time, in-person Digital Marketing Certification in Coimbatore, followed by a separate 2-month paid internship (Phase 2) at a partner agency. The admissions page displays a starting price of ₹3,910 per month, but the total course fee and one-time payment amount are not clearly established in the page text. Confirm the full payable fee, registration charges, instalment terms, and whether any additional costs apply. Verify the internship eligibility, selection conditions, stipend/payment terms, and whether the internship is guaranteed. Request the current fee structure and internship terms in writing before finalizing the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</si>
</sst>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entury Gothic"/>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65246-1749-49C7-A4A9-E00677CE3D52}">
  <dimension ref="A1:L12"/>
  <sheetViews>
    <sheetView topLeftCell="I1" workbookViewId="0">
      <selection activeCell="L2" sqref="L2"/>
    </sheetView>
  </sheetViews>
  <sheetFormatPr defaultRowHeight="13.8" x14ac:dyDescent="0.25"/>
  <cols>
    <col min="1" max="1" width="34.09765625" bestFit="1" customWidth="1"/>
    <col min="2" max="2" width="11.59765625" bestFit="1" customWidth="1"/>
    <col min="3" max="3" width="38.5" bestFit="1" customWidth="1"/>
    <col min="4" max="4" width="30.19921875" bestFit="1" customWidth="1"/>
    <col min="5" max="5" width="31.5" bestFit="1" customWidth="1"/>
    <col min="6" max="6" width="141.796875" bestFit="1" customWidth="1"/>
    <col min="7" max="7" width="60.296875" bestFit="1" customWidth="1"/>
    <col min="8" max="8" width="106.19921875" bestFit="1" customWidth="1"/>
    <col min="9" max="9" width="34.09765625" bestFit="1" customWidth="1"/>
    <col min="10" max="10" width="30.19921875" bestFit="1" customWidth="1"/>
    <col min="11" max="12" width="60.69921875" bestFit="1" customWidth="1"/>
  </cols>
  <sheetData>
    <row r="1" spans="1:12" x14ac:dyDescent="0.25">
      <c r="A1" t="s">
        <v>74</v>
      </c>
      <c r="B1" t="s">
        <v>22</v>
      </c>
      <c r="C1" t="s">
        <v>75</v>
      </c>
      <c r="D1" t="s">
        <v>76</v>
      </c>
      <c r="E1" t="s">
        <v>77</v>
      </c>
      <c r="F1" t="s">
        <v>78</v>
      </c>
      <c r="G1" t="s">
        <v>79</v>
      </c>
      <c r="H1" t="s">
        <v>80</v>
      </c>
    </row>
    <row r="2" spans="1:12" x14ac:dyDescent="0.25">
      <c r="A2" t="s">
        <v>37</v>
      </c>
      <c r="B2" t="s">
        <v>28</v>
      </c>
      <c r="C2" t="s">
        <v>81</v>
      </c>
      <c r="D2" t="s">
        <v>82</v>
      </c>
      <c r="E2" t="s">
        <v>83</v>
      </c>
      <c r="F2" t="s">
        <v>84</v>
      </c>
      <c r="G2" t="s">
        <v>85</v>
      </c>
      <c r="H2" t="s">
        <v>86</v>
      </c>
      <c r="I2" t="str">
        <f>TRIM(A2)</f>
        <v>LearnMore Technologies</v>
      </c>
      <c r="J2" t="str">
        <f>IFERROR(INDEX('Company Ratings'!$D$2:$D$1000,MATCH(TRIM(A2),'Company Ratings'!$A$2:$A$1000,0)),"No matching rating")</f>
        <v>4.9/5 (company-published claim)</v>
      </c>
      <c r="K2" t="str" cm="1">
        <f t="array" ref="K2">IFERROR(_xlfn.TEXTJOIN(CHAR(10),TRUE,_xlfn._xlws.FILTER('Company Ratings'!$C$2:$C$1000&amp;" — "&amp;'Company Ratings'!$D$2:$D$1000,'Company Ratings'!$A$2:$A$1000=TRIM(A2))),"No matching rating")</f>
        <v>Official website / testimonials — 4.9/5 (company-published claim)</v>
      </c>
      <c r="L2" t="str" cm="1">
        <f t="array" ref="L2">IFERROR(_xlfn.TEXTJOIN(CHAR(10),TRUE,_xlfn._xlws.FILTER('Company Ratings'!$C$2:$C$1000&amp;" — "&amp;'Company Ratings'!$D$2:$D$1000,'Company Ratings'!$A$2:$A$1000=TRIM(A2))),"No matching rating")</f>
        <v>Official website / testimonials — 4.9/5 (company-published claim)</v>
      </c>
    </row>
    <row r="3" spans="1:12" x14ac:dyDescent="0.25">
      <c r="A3" t="s">
        <v>45</v>
      </c>
      <c r="B3" t="s">
        <v>28</v>
      </c>
      <c r="C3" t="s">
        <v>87</v>
      </c>
      <c r="D3" t="s">
        <v>88</v>
      </c>
      <c r="E3">
        <v>937</v>
      </c>
      <c r="F3" t="s">
        <v>89</v>
      </c>
      <c r="G3" t="s">
        <v>90</v>
      </c>
      <c r="H3" t="s">
        <v>91</v>
      </c>
      <c r="I3" t="str">
        <f t="shared" ref="I3:I12" si="0">TRIM(A3)</f>
        <v>Yale Infotech</v>
      </c>
      <c r="J3" t="str">
        <f>IFERROR(INDEX('Company Ratings'!$D$2:$D$1000,MATCH(TRIM(A3),'Company Ratings'!$A$2:$A$1000,0)),"No matching rating")</f>
        <v>4.9/5</v>
      </c>
      <c r="K3" t="str" cm="1">
        <f t="array" ref="K3">IFERROR(_xlfn.TEXTJOIN(CHAR(10),TRUE,_xlfn._xlws.FILTER('Company Ratings'!$C$2:$C$1000&amp;" — "&amp;'Company Ratings'!$D$2:$D$1000,'Company Ratings'!$A$2:$A$1000=TRIM(A3))),"No matching rating")</f>
        <v>Google rating reported by Localo — 4.9/5</v>
      </c>
      <c r="L3" t="str" cm="1">
        <f t="array" ref="L3">IFERROR(_xlfn.TEXTJOIN(CHAR(10),TRUE,_xlfn._xlws.FILTER('Company Ratings'!$C$2:$C$1000&amp;" — "&amp;'Company Ratings'!$D$2:$D$1000,'Company Ratings'!$A$2:$A$1000=TRIM(A3))),"No matching rating")</f>
        <v>Google rating reported by Localo — 4.9/5</v>
      </c>
    </row>
    <row r="4" spans="1:12" x14ac:dyDescent="0.25">
      <c r="A4" t="s">
        <v>34</v>
      </c>
      <c r="B4" t="s">
        <v>32</v>
      </c>
      <c r="C4" t="s">
        <v>92</v>
      </c>
      <c r="D4" t="s">
        <v>93</v>
      </c>
      <c r="E4">
        <v>3246</v>
      </c>
      <c r="F4" t="s">
        <v>94</v>
      </c>
      <c r="G4" t="s">
        <v>95</v>
      </c>
      <c r="H4" t="s">
        <v>96</v>
      </c>
      <c r="I4" t="str">
        <f t="shared" si="0"/>
        <v>Digital Scholar</v>
      </c>
      <c r="J4" t="str">
        <f>IFERROR(INDEX('Company Ratings'!$D$2:$D$1000,MATCH(TRIM(A4),'Company Ratings'!$A$2:$A$1000,0)),"No matching rating")</f>
        <v>4.7/5</v>
      </c>
      <c r="K4" t="str" cm="1">
        <f t="array" ref="K4">IFERROR(_xlfn.TEXTJOIN(CHAR(10),TRUE,_xlfn._xlws.FILTER('Company Ratings'!$C$2:$C$1000&amp;" — "&amp;'Company Ratings'!$D$2:$D$1000,'Company Ratings'!$A$2:$A$1000=TRIM(A4))),"No matching rating")</f>
        <v>Google reviews reported by Collegedunia — 4.7/5
Trustpilot — 3.6/5</v>
      </c>
      <c r="L4" t="str" cm="1">
        <f t="array" ref="L4">IFERROR(_xlfn.TEXTJOIN(CHAR(10),TRUE,_xlfn._xlws.FILTER('Company Ratings'!$C$2:$C$1000&amp;" — "&amp;'Company Ratings'!$D$2:$D$1000,'Company Ratings'!$A$2:$A$1000=TRIM(A4))),"No matching rating")</f>
        <v>Google reviews reported by Collegedunia — 4.7/5
Trustpilot — 3.6/5</v>
      </c>
    </row>
    <row r="5" spans="1:12" x14ac:dyDescent="0.25">
      <c r="A5" t="s">
        <v>34</v>
      </c>
      <c r="B5" t="s">
        <v>32</v>
      </c>
      <c r="C5" t="s">
        <v>97</v>
      </c>
      <c r="D5" t="s">
        <v>98</v>
      </c>
      <c r="E5">
        <v>490</v>
      </c>
      <c r="F5" t="s">
        <v>99</v>
      </c>
      <c r="G5" t="s">
        <v>100</v>
      </c>
      <c r="H5" t="s">
        <v>101</v>
      </c>
      <c r="I5" t="str">
        <f t="shared" si="0"/>
        <v>Digital Scholar</v>
      </c>
      <c r="J5" t="str">
        <f>IFERROR(INDEX('Company Ratings'!$D$2:$D$1000,MATCH(TRIM(A5),'Company Ratings'!$A$2:$A$1000,0)),"No matching rating")</f>
        <v>4.7/5</v>
      </c>
      <c r="K5" t="str" cm="1">
        <f t="array" ref="K5">IFERROR(_xlfn.TEXTJOIN(CHAR(10),TRUE,_xlfn._xlws.FILTER('Company Ratings'!$C$2:$C$1000&amp;" — "&amp;'Company Ratings'!$D$2:$D$1000,'Company Ratings'!$A$2:$A$1000=TRIM(A5))),"No matching rating")</f>
        <v>Google reviews reported by Collegedunia — 4.7/5
Trustpilot — 3.6/5</v>
      </c>
      <c r="L5" t="str" cm="1">
        <f t="array" ref="L5">IFERROR(_xlfn.TEXTJOIN(CHAR(10),TRUE,_xlfn._xlws.FILTER('Company Ratings'!$C$2:$C$1000&amp;" — "&amp;'Company Ratings'!$D$2:$D$1000,'Company Ratings'!$A$2:$A$1000=TRIM(A5))),"No matching rating")</f>
        <v>Google reviews reported by Collegedunia — 4.7/5
Trustpilot — 3.6/5</v>
      </c>
    </row>
    <row r="6" spans="1:12" x14ac:dyDescent="0.25">
      <c r="A6" t="s">
        <v>56</v>
      </c>
      <c r="B6" t="s">
        <v>32</v>
      </c>
      <c r="C6" t="s">
        <v>102</v>
      </c>
      <c r="D6" t="s">
        <v>88</v>
      </c>
      <c r="E6">
        <v>45</v>
      </c>
      <c r="F6" t="s">
        <v>103</v>
      </c>
      <c r="G6" t="s">
        <v>104</v>
      </c>
      <c r="H6" t="s">
        <v>105</v>
      </c>
      <c r="I6" t="str">
        <f t="shared" si="0"/>
        <v>Aurobotix Systems</v>
      </c>
      <c r="J6" t="str">
        <f>IFERROR(INDEX('Company Ratings'!$D$2:$D$1000,MATCH(TRIM(A6),'Company Ratings'!$A$2:$A$1000,0)),"No matching rating")</f>
        <v>4.9/5</v>
      </c>
      <c r="K6" t="str" cm="1">
        <f t="array" ref="K6">IFERROR(_xlfn.TEXTJOIN(CHAR(10),TRUE,_xlfn._xlws.FILTER('Company Ratings'!$C$2:$C$1000&amp;" — "&amp;'Company Ratings'!$D$2:$D$1000,'Company Ratings'!$A$2:$A$1000=TRIM(A6))),"No matching rating")</f>
        <v>Justdial — 4.9/5</v>
      </c>
      <c r="L6" t="str" cm="1">
        <f t="array" ref="L6">IFERROR(_xlfn.TEXTJOIN(CHAR(10),TRUE,_xlfn._xlws.FILTER('Company Ratings'!$C$2:$C$1000&amp;" — "&amp;'Company Ratings'!$D$2:$D$1000,'Company Ratings'!$A$2:$A$1000=TRIM(A6))),"No matching rating")</f>
        <v>Justdial — 4.9/5</v>
      </c>
    </row>
    <row r="7" spans="1:12" x14ac:dyDescent="0.25">
      <c r="A7" t="s">
        <v>61</v>
      </c>
      <c r="B7" t="s">
        <v>28</v>
      </c>
      <c r="C7" t="s">
        <v>106</v>
      </c>
      <c r="D7" t="s">
        <v>107</v>
      </c>
      <c r="E7" t="s">
        <v>108</v>
      </c>
      <c r="F7" t="s">
        <v>109</v>
      </c>
      <c r="G7" t="s">
        <v>110</v>
      </c>
      <c r="H7" t="s">
        <v>111</v>
      </c>
      <c r="I7" t="str">
        <f t="shared" si="0"/>
        <v>Fulcrum Creative School</v>
      </c>
      <c r="J7" t="str">
        <f>IFERROR(INDEX('Company Ratings'!$D$2:$D$1000,MATCH(TRIM(A7),'Company Ratings'!$A$2:$A$1000,0)),"No matching rating")</f>
        <v>4.9 stars (site claim)</v>
      </c>
      <c r="K7" t="str" cm="1">
        <f t="array" ref="K7">IFERROR(_xlfn.TEXTJOIN(CHAR(10),TRUE,_xlfn._xlws.FILTER('Company Ratings'!$C$2:$C$1000&amp;" — "&amp;'Company Ratings'!$D$2:$D$1000,'Company Ratings'!$A$2:$A$1000=TRIM(A7))),"No matching rating")</f>
        <v>Official website — 4.9 stars (site claim)
Justdial — 4.7/5</v>
      </c>
      <c r="L7" t="str" cm="1">
        <f t="array" ref="L7">IFERROR(_xlfn.TEXTJOIN(CHAR(10),TRUE,_xlfn._xlws.FILTER('Company Ratings'!$C$2:$C$1000&amp;" — "&amp;'Company Ratings'!$D$2:$D$1000,'Company Ratings'!$A$2:$A$1000=TRIM(A7))),"No matching rating")</f>
        <v>Official website — 4.9 stars (site claim)
Justdial — 4.7/5</v>
      </c>
    </row>
    <row r="8" spans="1:12" x14ac:dyDescent="0.25">
      <c r="A8" t="s">
        <v>61</v>
      </c>
      <c r="B8" t="s">
        <v>28</v>
      </c>
      <c r="C8" t="s">
        <v>102</v>
      </c>
      <c r="D8" t="s">
        <v>93</v>
      </c>
      <c r="E8">
        <v>24</v>
      </c>
      <c r="F8" t="s">
        <v>112</v>
      </c>
      <c r="G8" t="s">
        <v>95</v>
      </c>
      <c r="H8" t="s">
        <v>113</v>
      </c>
      <c r="I8" t="str">
        <f t="shared" si="0"/>
        <v>Fulcrum Creative School</v>
      </c>
      <c r="J8" t="str">
        <f>IFERROR(INDEX('Company Ratings'!$D$2:$D$1000,MATCH(TRIM(A8),'Company Ratings'!$A$2:$A$1000,0)),"No matching rating")</f>
        <v>4.9 stars (site claim)</v>
      </c>
      <c r="K8" t="str" cm="1">
        <f t="array" ref="K8">IFERROR(_xlfn.TEXTJOIN(CHAR(10),TRUE,_xlfn._xlws.FILTER('Company Ratings'!$C$2:$C$1000&amp;" — "&amp;'Company Ratings'!$D$2:$D$1000,'Company Ratings'!$A$2:$A$1000=TRIM(A8))),"No matching rating")</f>
        <v>Official website — 4.9 stars (site claim)
Justdial — 4.7/5</v>
      </c>
      <c r="L8" t="str" cm="1">
        <f t="array" ref="L8">IFERROR(_xlfn.TEXTJOIN(CHAR(10),TRUE,_xlfn._xlws.FILTER('Company Ratings'!$C$2:$C$1000&amp;" — "&amp;'Company Ratings'!$D$2:$D$1000,'Company Ratings'!$A$2:$A$1000=TRIM(A8))),"No matching rating")</f>
        <v>Official website — 4.9 stars (site claim)
Justdial — 4.7/5</v>
      </c>
    </row>
    <row r="9" spans="1:12" x14ac:dyDescent="0.25">
      <c r="A9" t="s">
        <v>114</v>
      </c>
      <c r="B9" t="s">
        <v>32</v>
      </c>
      <c r="C9" t="s">
        <v>115</v>
      </c>
      <c r="D9" t="s">
        <v>116</v>
      </c>
      <c r="E9">
        <v>289</v>
      </c>
      <c r="F9" t="s">
        <v>117</v>
      </c>
      <c r="G9" t="s">
        <v>95</v>
      </c>
      <c r="H9" t="s">
        <v>118</v>
      </c>
      <c r="I9" t="str">
        <f t="shared" si="0"/>
        <v>ICAT Design and Media College</v>
      </c>
      <c r="J9" t="str">
        <f>IFERROR(INDEX('Company Ratings'!$D$2:$D$1000,MATCH(TRIM(A9),'Company Ratings'!$A$2:$A$1000,0)),"No matching rating")</f>
        <v>4.1/5</v>
      </c>
      <c r="K9" t="str" cm="1">
        <f t="array" ref="K9">IFERROR(_xlfn.TEXTJOIN(CHAR(10),TRUE,_xlfn._xlws.FILTER('Company Ratings'!$C$2:$C$1000&amp;" — "&amp;'Company Ratings'!$D$2:$D$1000,'Company Ratings'!$A$2:$A$1000=TRIM(A9))),"No matching rating")</f>
        <v>Google rating reported by Collegedunia — 4.1/5
Justdial — 3.8/5</v>
      </c>
      <c r="L9" t="str" cm="1">
        <f t="array" ref="L9">IFERROR(_xlfn.TEXTJOIN(CHAR(10),TRUE,_xlfn._xlws.FILTER('Company Ratings'!$C$2:$C$1000&amp;" — "&amp;'Company Ratings'!$D$2:$D$1000,'Company Ratings'!$A$2:$A$1000=TRIM(A9))),"No matching rating")</f>
        <v>Google rating reported by Collegedunia — 4.1/5
Justdial — 3.8/5</v>
      </c>
    </row>
    <row r="10" spans="1:12" x14ac:dyDescent="0.25">
      <c r="A10" t="s">
        <v>114</v>
      </c>
      <c r="B10" t="s">
        <v>32</v>
      </c>
      <c r="C10" t="s">
        <v>102</v>
      </c>
      <c r="D10" t="s">
        <v>119</v>
      </c>
      <c r="E10">
        <v>539</v>
      </c>
      <c r="F10" t="s">
        <v>120</v>
      </c>
      <c r="G10" t="s">
        <v>95</v>
      </c>
      <c r="H10" t="s">
        <v>121</v>
      </c>
      <c r="I10" t="str">
        <f t="shared" si="0"/>
        <v>ICAT Design and Media College</v>
      </c>
      <c r="J10" t="str">
        <f>IFERROR(INDEX('Company Ratings'!$D$2:$D$1000,MATCH(TRIM(A10),'Company Ratings'!$A$2:$A$1000,0)),"No matching rating")</f>
        <v>4.1/5</v>
      </c>
      <c r="K10" t="str" cm="1">
        <f t="array" ref="K10">IFERROR(_xlfn.TEXTJOIN(CHAR(10),TRUE,_xlfn._xlws.FILTER('Company Ratings'!$C$2:$C$1000&amp;" — "&amp;'Company Ratings'!$D$2:$D$1000,'Company Ratings'!$A$2:$A$1000=TRIM(A10))),"No matching rating")</f>
        <v>Google rating reported by Collegedunia — 4.1/5
Justdial — 3.8/5</v>
      </c>
      <c r="L10" t="str" cm="1">
        <f t="array" ref="L10">IFERROR(_xlfn.TEXTJOIN(CHAR(10),TRUE,_xlfn._xlws.FILTER('Company Ratings'!$C$2:$C$1000&amp;" — "&amp;'Company Ratings'!$D$2:$D$1000,'Company Ratings'!$A$2:$A$1000=TRIM(A10))),"No matching rating")</f>
        <v>Google rating reported by Collegedunia — 4.1/5
Justdial — 3.8/5</v>
      </c>
    </row>
    <row r="11" spans="1:12" x14ac:dyDescent="0.25">
      <c r="A11" t="s">
        <v>122</v>
      </c>
      <c r="B11" t="s">
        <v>32</v>
      </c>
      <c r="C11" t="s">
        <v>102</v>
      </c>
      <c r="D11" t="s">
        <v>123</v>
      </c>
      <c r="E11">
        <v>233</v>
      </c>
      <c r="F11" t="s">
        <v>124</v>
      </c>
      <c r="G11" t="s">
        <v>95</v>
      </c>
      <c r="H11" t="s">
        <v>125</v>
      </c>
      <c r="I11" t="str">
        <f t="shared" si="0"/>
        <v>L. V. Prasad College of Media Studies</v>
      </c>
      <c r="J11" t="str">
        <f>IFERROR(INDEX('Company Ratings'!$D$2:$D$1000,MATCH(TRIM(A11),'Company Ratings'!$A$2:$A$1000,0)),"No matching rating")</f>
        <v>4.3/5</v>
      </c>
      <c r="K11" t="str" cm="1">
        <f t="array" ref="K11">IFERROR(_xlfn.TEXTJOIN(CHAR(10),TRUE,_xlfn._xlws.FILTER('Company Ratings'!$C$2:$C$1000&amp;" — "&amp;'Company Ratings'!$D$2:$D$1000,'Company Ratings'!$A$2:$A$1000=TRIM(A11))),"No matching rating")</f>
        <v>Justdial — 4.3/5</v>
      </c>
      <c r="L11" t="str" cm="1">
        <f t="array" ref="L11">IFERROR(_xlfn.TEXTJOIN(CHAR(10),TRUE,_xlfn._xlws.FILTER('Company Ratings'!$C$2:$C$1000&amp;" — "&amp;'Company Ratings'!$D$2:$D$1000,'Company Ratings'!$A$2:$A$1000=TRIM(A11))),"No matching rating")</f>
        <v>Justdial — 4.3/5</v>
      </c>
    </row>
    <row r="12" spans="1:12" x14ac:dyDescent="0.25">
      <c r="A12" t="s">
        <v>52</v>
      </c>
      <c r="B12" t="s">
        <v>28</v>
      </c>
      <c r="C12" t="s">
        <v>106</v>
      </c>
      <c r="D12" t="s">
        <v>126</v>
      </c>
      <c r="E12" t="s">
        <v>126</v>
      </c>
      <c r="F12" t="s">
        <v>127</v>
      </c>
      <c r="G12" t="s">
        <v>128</v>
      </c>
      <c r="H12" t="s">
        <v>129</v>
      </c>
      <c r="I12" t="str">
        <f t="shared" si="0"/>
        <v>AIRA Global Tech</v>
      </c>
      <c r="J12" t="str">
        <f>IFERROR(INDEX('Company Ratings'!$D$2:$D$1000,MATCH(TRIM(A12),'Company Ratings'!$A$2:$A$1000,0)),"No matching rating")</f>
        <v>Not verified</v>
      </c>
      <c r="K12" t="str" cm="1">
        <f t="array" ref="K12">IFERROR(_xlfn.TEXTJOIN(CHAR(10),TRUE,_xlfn._xlws.FILTER('Company Ratings'!$C$2:$C$1000&amp;" — "&amp;'Company Ratings'!$D$2:$D$1000,'Company Ratings'!$A$2:$A$1000=TRIM(A12))),"No matching rating")</f>
        <v>Official website — Not verified</v>
      </c>
      <c r="L12" t="str" cm="1">
        <f t="array" ref="L12">IFERROR(_xlfn.TEXTJOIN(CHAR(10),TRUE,_xlfn._xlws.FILTER('Company Ratings'!$C$2:$C$1000&amp;" — "&amp;'Company Ratings'!$D$2:$D$1000,'Company Ratings'!$A$2:$A$1000=TRIM(A12))),"No matching rating")</f>
        <v>Official website — Not verified</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FBA7A-F004-4EE7-898D-57B676809E5E}">
  <dimension ref="A1:H26"/>
  <sheetViews>
    <sheetView tabSelected="1" topLeftCell="D1" workbookViewId="0">
      <selection activeCell="D9" sqref="D9"/>
    </sheetView>
  </sheetViews>
  <sheetFormatPr defaultRowHeight="13.8" x14ac:dyDescent="0.25"/>
  <cols>
    <col min="1" max="1" width="23.8984375" bestFit="1" customWidth="1"/>
    <col min="2" max="2" width="21.8984375" bestFit="1" customWidth="1"/>
    <col min="3" max="3" width="34.09765625" bestFit="1" customWidth="1"/>
    <col min="4" max="4" width="171.59765625" bestFit="1" customWidth="1"/>
    <col min="5" max="5" width="79.09765625" bestFit="1" customWidth="1"/>
    <col min="6" max="6" width="79.19921875" bestFit="1" customWidth="1"/>
    <col min="7" max="7" width="255.69921875" bestFit="1" customWidth="1"/>
    <col min="8" max="8" width="60.69921875" bestFit="1" customWidth="1"/>
  </cols>
  <sheetData>
    <row r="1" spans="1:8" x14ac:dyDescent="0.25">
      <c r="A1" t="s">
        <v>22</v>
      </c>
      <c r="B1" t="s">
        <v>23</v>
      </c>
      <c r="C1" t="s">
        <v>24</v>
      </c>
      <c r="D1" t="s">
        <v>25</v>
      </c>
      <c r="E1" t="s">
        <v>26</v>
      </c>
      <c r="F1" t="s">
        <v>27</v>
      </c>
      <c r="G1" t="s">
        <v>131</v>
      </c>
      <c r="H1" t="s">
        <v>130</v>
      </c>
    </row>
    <row r="2" spans="1:8" x14ac:dyDescent="0.25">
      <c r="A2" t="s">
        <v>28</v>
      </c>
      <c r="B2" t="s">
        <v>29</v>
      </c>
      <c r="C2" t="s">
        <v>30</v>
      </c>
      <c r="D2" t="s">
        <v>142</v>
      </c>
      <c r="E2" t="s">
        <v>31</v>
      </c>
      <c r="F2" t="s">
        <v>146</v>
      </c>
      <c r="G2" t="s">
        <v>159</v>
      </c>
      <c r="H2" t="str" cm="1">
        <f t="array" ref="H2">IFERROR(_xlfn.TEXTJOIN(CHAR(10),TRUE,_xlfn._xlws.FILTER('Company Ratings'!$C$2:$C$1000&amp;" — "&amp;'Company Ratings'!$D$2:$D$1000,'Company Ratings'!$A$2:$A$1000=TRIM(C2))),"No matching rating — verify")</f>
        <v>No matching rating — verify</v>
      </c>
    </row>
    <row r="3" spans="1:8" x14ac:dyDescent="0.25">
      <c r="A3" t="s">
        <v>32</v>
      </c>
      <c r="B3" t="s">
        <v>29</v>
      </c>
      <c r="C3" t="s">
        <v>30</v>
      </c>
      <c r="D3" t="s">
        <v>143</v>
      </c>
      <c r="E3" t="s">
        <v>33</v>
      </c>
      <c r="F3" t="s">
        <v>147</v>
      </c>
      <c r="G3" t="s">
        <v>160</v>
      </c>
      <c r="H3" t="str" cm="1">
        <f t="array" ref="H3">IFERROR(_xlfn.TEXTJOIN(CHAR(10),TRUE,_xlfn._xlws.FILTER('Company Ratings'!$C$2:$C$1000&amp;" — "&amp;'Company Ratings'!$D$2:$D$1000,'Company Ratings'!$A$2:$A$1000=TRIM(C3))),"No matching rating — verify")</f>
        <v>No matching rating — verify</v>
      </c>
    </row>
    <row r="4" spans="1:8" x14ac:dyDescent="0.25">
      <c r="A4" t="s">
        <v>32</v>
      </c>
      <c r="B4" t="s">
        <v>29</v>
      </c>
      <c r="C4" t="s">
        <v>34</v>
      </c>
      <c r="D4" t="s">
        <v>144</v>
      </c>
      <c r="E4" t="s">
        <v>35</v>
      </c>
      <c r="F4" t="s">
        <v>148</v>
      </c>
      <c r="G4" t="s">
        <v>161</v>
      </c>
      <c r="H4" t="str" cm="1">
        <f t="array" ref="H4">IFERROR(_xlfn.TEXTJOIN(CHAR(10),TRUE,_xlfn._xlws.FILTER('Company Ratings'!$C$2:$C$1000&amp;" — "&amp;'Company Ratings'!$D$2:$D$1000,'Company Ratings'!$A$2:$A$1000=TRIM(C4))),"No matching rating — verify")</f>
        <v>Google reviews reported by Collegedunia — 4.7/5
Trustpilot — 3.6/5</v>
      </c>
    </row>
    <row r="5" spans="1:8" x14ac:dyDescent="0.25">
      <c r="A5" t="s">
        <v>28</v>
      </c>
      <c r="B5" t="s">
        <v>36</v>
      </c>
      <c r="C5" t="s">
        <v>37</v>
      </c>
      <c r="D5" t="s">
        <v>154</v>
      </c>
      <c r="E5" t="s">
        <v>38</v>
      </c>
      <c r="F5" t="s">
        <v>155</v>
      </c>
      <c r="G5" t="s">
        <v>156</v>
      </c>
      <c r="H5" t="str" cm="1">
        <f t="array" ref="H5">IFERROR(_xlfn.TEXTJOIN(CHAR(10),TRUE,_xlfn._xlws.FILTER('Company Ratings'!$C$2:$C$1000&amp;" — "&amp;'Company Ratings'!$D$2:$D$1000,'Company Ratings'!$A$2:$A$1000=TRIM(C5))),"No matching rating — verify")</f>
        <v>Official website / testimonials — 4.9/5 (company-published claim)</v>
      </c>
    </row>
    <row r="6" spans="1:8" x14ac:dyDescent="0.25">
      <c r="A6" t="s">
        <v>39</v>
      </c>
      <c r="B6" t="s">
        <v>36</v>
      </c>
      <c r="C6" t="s">
        <v>40</v>
      </c>
      <c r="D6" t="s">
        <v>153</v>
      </c>
      <c r="E6" t="s">
        <v>41</v>
      </c>
      <c r="F6" t="s">
        <v>152</v>
      </c>
      <c r="G6" t="s">
        <v>157</v>
      </c>
      <c r="H6" t="str" cm="1">
        <f t="array" ref="H6">IFERROR(_xlfn.TEXTJOIN(CHAR(10),TRUE,_xlfn._xlws.FILTER('Company Ratings'!$C$2:$C$1000&amp;" — "&amp;'Company Ratings'!$D$2:$D$1000,'Company Ratings'!$A$2:$A$1000=TRIM(C6))),"No matching rating — verify")</f>
        <v>No matching rating — verify</v>
      </c>
    </row>
    <row r="7" spans="1:8" x14ac:dyDescent="0.25">
      <c r="A7" t="s">
        <v>28</v>
      </c>
      <c r="B7" t="s">
        <v>36</v>
      </c>
      <c r="C7" t="s">
        <v>42</v>
      </c>
      <c r="D7" t="s">
        <v>150</v>
      </c>
      <c r="E7" t="s">
        <v>43</v>
      </c>
      <c r="F7" t="s">
        <v>151</v>
      </c>
      <c r="G7" t="s">
        <v>158</v>
      </c>
      <c r="H7" t="str" cm="1">
        <f t="array" ref="H7">IFERROR(_xlfn.TEXTJOIN(CHAR(10),TRUE,_xlfn._xlws.FILTER('Company Ratings'!$C$2:$C$1000&amp;" — "&amp;'Company Ratings'!$D$2:$D$1000,'Company Ratings'!$A$2:$A$1000=TRIM(C7))),"No matching rating — verify")</f>
        <v>No matching rating — verify</v>
      </c>
    </row>
    <row r="8" spans="1:8" x14ac:dyDescent="0.25">
      <c r="A8" t="s">
        <v>28</v>
      </c>
      <c r="B8" t="s">
        <v>44</v>
      </c>
      <c r="C8" t="s">
        <v>45</v>
      </c>
      <c r="D8" t="s">
        <v>162</v>
      </c>
      <c r="E8" t="s">
        <v>46</v>
      </c>
      <c r="F8" t="s">
        <v>163</v>
      </c>
      <c r="G8" t="s">
        <v>164</v>
      </c>
      <c r="H8" t="str" cm="1">
        <f t="array" ref="H8">IFERROR(_xlfn.TEXTJOIN(CHAR(10),TRUE,_xlfn._xlws.FILTER('Company Ratings'!$C$2:$C$1000&amp;" — "&amp;'Company Ratings'!$D$2:$D$1000,'Company Ratings'!$A$2:$A$1000=TRIM(C8))),"No matching rating — verify")</f>
        <v>Google rating reported by Localo — 4.9/5</v>
      </c>
    </row>
    <row r="9" spans="1:8" x14ac:dyDescent="0.25">
      <c r="A9" t="s">
        <v>39</v>
      </c>
      <c r="B9" t="s">
        <v>44</v>
      </c>
      <c r="C9" t="s">
        <v>40</v>
      </c>
      <c r="D9" t="s">
        <v>165</v>
      </c>
      <c r="E9" t="s">
        <v>41</v>
      </c>
      <c r="F9" t="s">
        <v>166</v>
      </c>
      <c r="G9" t="s">
        <v>167</v>
      </c>
      <c r="H9" t="str" cm="1">
        <f t="array" ref="H9">IFERROR(_xlfn.TEXTJOIN(CHAR(10),TRUE,_xlfn._xlws.FILTER('Company Ratings'!$C$2:$C$1000&amp;" — "&amp;'Company Ratings'!$D$2:$D$1000,'Company Ratings'!$A$2:$A$1000=TRIM(C9))),"No matching rating — verify")</f>
        <v>No matching rating — verify</v>
      </c>
    </row>
    <row r="10" spans="1:8" x14ac:dyDescent="0.25">
      <c r="A10" t="s">
        <v>32</v>
      </c>
      <c r="B10" t="s">
        <v>44</v>
      </c>
      <c r="C10" t="s">
        <v>47</v>
      </c>
      <c r="D10" t="s">
        <v>168</v>
      </c>
      <c r="E10" t="s">
        <v>48</v>
      </c>
      <c r="F10" t="s">
        <v>169</v>
      </c>
      <c r="G10" t="s">
        <v>170</v>
      </c>
      <c r="H10" t="str" cm="1">
        <f t="array" ref="H10">IFERROR(_xlfn.TEXTJOIN(CHAR(10),TRUE,_xlfn._xlws.FILTER('Company Ratings'!$C$2:$C$1000&amp;" — "&amp;'Company Ratings'!$D$2:$D$1000,'Company Ratings'!$A$2:$A$1000=TRIM(C10))),"No matching rating — verify")</f>
        <v>No matching rating — verify</v>
      </c>
    </row>
    <row r="11" spans="1:8" x14ac:dyDescent="0.25">
      <c r="A11" t="s">
        <v>32</v>
      </c>
      <c r="B11" t="s">
        <v>44</v>
      </c>
      <c r="C11" t="s">
        <v>114</v>
      </c>
      <c r="D11" t="s">
        <v>171</v>
      </c>
      <c r="E11" t="s">
        <v>49</v>
      </c>
      <c r="F11" t="s">
        <v>172</v>
      </c>
      <c r="G11" t="s">
        <v>173</v>
      </c>
      <c r="H11" t="str" cm="1">
        <f t="array" ref="H11">IFERROR(_xlfn.TEXTJOIN(CHAR(10),TRUE,_xlfn._xlws.FILTER('Company Ratings'!$C$2:$C$1000&amp;" — "&amp;'Company Ratings'!$D$2:$D$1000,'Company Ratings'!$A$2:$A$1000=TRIM(C11))),"No matching rating — verify")</f>
        <v>Google rating reported by Collegedunia — 4.1/5
Justdial — 3.8/5</v>
      </c>
    </row>
    <row r="12" spans="1:8" x14ac:dyDescent="0.25">
      <c r="A12" t="s">
        <v>28</v>
      </c>
      <c r="B12" t="s">
        <v>50</v>
      </c>
      <c r="C12" t="s">
        <v>45</v>
      </c>
      <c r="D12" t="s">
        <v>174</v>
      </c>
      <c r="E12" t="s">
        <v>51</v>
      </c>
      <c r="F12" t="s">
        <v>175</v>
      </c>
      <c r="G12" t="s">
        <v>176</v>
      </c>
      <c r="H12" t="str" cm="1">
        <f t="array" ref="H12">IFERROR(_xlfn.TEXTJOIN(CHAR(10),TRUE,_xlfn._xlws.FILTER('Company Ratings'!$C$2:$C$1000&amp;" — "&amp;'Company Ratings'!$D$2:$D$1000,'Company Ratings'!$A$2:$A$1000=TRIM(C12))),"No matching rating — verify")</f>
        <v>Google rating reported by Localo — 4.9/5</v>
      </c>
    </row>
    <row r="13" spans="1:8" x14ac:dyDescent="0.25">
      <c r="A13" t="s">
        <v>28</v>
      </c>
      <c r="B13" t="s">
        <v>50</v>
      </c>
      <c r="C13" t="s">
        <v>52</v>
      </c>
      <c r="D13" t="s">
        <v>177</v>
      </c>
      <c r="E13" t="s">
        <v>53</v>
      </c>
      <c r="F13" t="s">
        <v>178</v>
      </c>
      <c r="G13" t="s">
        <v>179</v>
      </c>
      <c r="H13" t="str" cm="1">
        <f t="array" ref="H13">IFERROR(_xlfn.TEXTJOIN(CHAR(10),TRUE,_xlfn._xlws.FILTER('Company Ratings'!$C$2:$C$1000&amp;" — "&amp;'Company Ratings'!$D$2:$D$1000,'Company Ratings'!$A$2:$A$1000=TRIM(C13))),"No matching rating — verify")</f>
        <v>Official website — Not verified</v>
      </c>
    </row>
    <row r="14" spans="1:8" x14ac:dyDescent="0.25">
      <c r="A14" t="s">
        <v>39</v>
      </c>
      <c r="B14" t="s">
        <v>50</v>
      </c>
      <c r="C14" t="s">
        <v>40</v>
      </c>
      <c r="D14" t="s">
        <v>180</v>
      </c>
      <c r="E14" t="s">
        <v>41</v>
      </c>
      <c r="F14" t="s">
        <v>181</v>
      </c>
      <c r="G14" t="s">
        <v>182</v>
      </c>
      <c r="H14" t="str" cm="1">
        <f t="array" ref="H14">IFERROR(_xlfn.TEXTJOIN(CHAR(10),TRUE,_xlfn._xlws.FILTER('Company Ratings'!$C$2:$C$1000&amp;" — "&amp;'Company Ratings'!$D$2:$D$1000,'Company Ratings'!$A$2:$A$1000=TRIM(C14))),"No matching rating — verify")</f>
        <v>No matching rating — verify</v>
      </c>
    </row>
    <row r="15" spans="1:8" x14ac:dyDescent="0.25">
      <c r="A15" t="s">
        <v>32</v>
      </c>
      <c r="B15" t="s">
        <v>50</v>
      </c>
      <c r="C15" t="s">
        <v>54</v>
      </c>
      <c r="D15" t="s">
        <v>183</v>
      </c>
      <c r="E15" t="s">
        <v>55</v>
      </c>
      <c r="F15" t="s">
        <v>184</v>
      </c>
      <c r="G15" t="s">
        <v>185</v>
      </c>
      <c r="H15" t="str" cm="1">
        <f t="array" ref="H15">IFERROR(_xlfn.TEXTJOIN(CHAR(10),TRUE,_xlfn._xlws.FILTER('Company Ratings'!$C$2:$C$1000&amp;" — "&amp;'Company Ratings'!$D$2:$D$1000,'Company Ratings'!$A$2:$A$1000=TRIM(C15))),"No matching rating — verify")</f>
        <v>No matching rating — verify</v>
      </c>
    </row>
    <row r="16" spans="1:8" x14ac:dyDescent="0.25">
      <c r="A16" t="s">
        <v>32</v>
      </c>
      <c r="B16" t="s">
        <v>50</v>
      </c>
      <c r="C16" t="s">
        <v>56</v>
      </c>
      <c r="D16" t="s">
        <v>186</v>
      </c>
      <c r="E16" t="s">
        <v>57</v>
      </c>
      <c r="F16" t="s">
        <v>187</v>
      </c>
      <c r="G16" t="s">
        <v>188</v>
      </c>
      <c r="H16" t="str" cm="1">
        <f t="array" ref="H16">IFERROR(_xlfn.TEXTJOIN(CHAR(10),TRUE,_xlfn._xlws.FILTER('Company Ratings'!$C$2:$C$1000&amp;" — "&amp;'Company Ratings'!$D$2:$D$1000,'Company Ratings'!$A$2:$A$1000=TRIM(C16))),"No matching rating — verify")</f>
        <v>Justdial — 4.9/5</v>
      </c>
    </row>
    <row r="17" spans="1:8" x14ac:dyDescent="0.25">
      <c r="A17" t="s">
        <v>32</v>
      </c>
      <c r="B17" t="s">
        <v>50</v>
      </c>
      <c r="C17" t="s">
        <v>58</v>
      </c>
      <c r="D17" t="s">
        <v>189</v>
      </c>
      <c r="E17" t="s">
        <v>59</v>
      </c>
      <c r="F17" t="s">
        <v>190</v>
      </c>
      <c r="G17" t="s">
        <v>191</v>
      </c>
      <c r="H17" t="str" cm="1">
        <f t="array" ref="H17">IFERROR(_xlfn.TEXTJOIN(CHAR(10),TRUE,_xlfn._xlws.FILTER('Company Ratings'!$C$2:$C$1000&amp;" — "&amp;'Company Ratings'!$D$2:$D$1000,'Company Ratings'!$A$2:$A$1000=TRIM(C17))),"No matching rating — verify")</f>
        <v>No matching rating — verify</v>
      </c>
    </row>
    <row r="18" spans="1:8" x14ac:dyDescent="0.25">
      <c r="A18" t="s">
        <v>28</v>
      </c>
      <c r="B18" t="s">
        <v>60</v>
      </c>
      <c r="C18" t="s">
        <v>61</v>
      </c>
      <c r="D18" t="s">
        <v>192</v>
      </c>
      <c r="E18" t="s">
        <v>62</v>
      </c>
      <c r="F18" t="s">
        <v>193</v>
      </c>
      <c r="G18" t="s">
        <v>194</v>
      </c>
      <c r="H18" t="str" cm="1">
        <f t="array" ref="H18">IFERROR(_xlfn.TEXTJOIN(CHAR(10),TRUE,_xlfn._xlws.FILTER('Company Ratings'!$C$2:$C$1000&amp;" — "&amp;'Company Ratings'!$D$2:$D$1000,'Company Ratings'!$A$2:$A$1000=TRIM(C18))),"No matching rating — verify")</f>
        <v>Official website — 4.9 stars (site claim)
Justdial — 4.7/5</v>
      </c>
    </row>
    <row r="19" spans="1:8" x14ac:dyDescent="0.25">
      <c r="A19" t="s">
        <v>39</v>
      </c>
      <c r="B19" t="s">
        <v>60</v>
      </c>
      <c r="C19" t="s">
        <v>40</v>
      </c>
      <c r="D19" t="s">
        <v>195</v>
      </c>
      <c r="E19" t="s">
        <v>41</v>
      </c>
      <c r="F19" t="s">
        <v>166</v>
      </c>
      <c r="G19" t="s">
        <v>196</v>
      </c>
      <c r="H19" t="str" cm="1">
        <f t="array" ref="H19">IFERROR(_xlfn.TEXTJOIN(CHAR(10),TRUE,_xlfn._xlws.FILTER('Company Ratings'!$C$2:$C$1000&amp;" — "&amp;'Company Ratings'!$D$2:$D$1000,'Company Ratings'!$A$2:$A$1000=TRIM(C19))),"No matching rating — verify")</f>
        <v>No matching rating — verify</v>
      </c>
    </row>
    <row r="20" spans="1:8" x14ac:dyDescent="0.25">
      <c r="A20" t="s">
        <v>32</v>
      </c>
      <c r="B20" t="s">
        <v>60</v>
      </c>
      <c r="C20" t="s">
        <v>122</v>
      </c>
      <c r="D20" t="s">
        <v>197</v>
      </c>
      <c r="E20" t="s">
        <v>63</v>
      </c>
      <c r="F20" t="s">
        <v>198</v>
      </c>
      <c r="G20" t="s">
        <v>199</v>
      </c>
      <c r="H20" t="str" cm="1">
        <f t="array" ref="H20">IFERROR(_xlfn.TEXTJOIN(CHAR(10),TRUE,_xlfn._xlws.FILTER('Company Ratings'!$C$2:$C$1000&amp;" — "&amp;'Company Ratings'!$D$2:$D$1000,'Company Ratings'!$A$2:$A$1000=TRIM(C20))),"No matching rating — verify")</f>
        <v>Justdial — 4.3/5</v>
      </c>
    </row>
    <row r="21" spans="1:8" x14ac:dyDescent="0.25">
      <c r="A21" t="s">
        <v>32</v>
      </c>
      <c r="B21" t="s">
        <v>60</v>
      </c>
      <c r="C21" t="s">
        <v>64</v>
      </c>
      <c r="D21" t="s">
        <v>200</v>
      </c>
      <c r="E21" t="s">
        <v>65</v>
      </c>
      <c r="F21" t="s">
        <v>201</v>
      </c>
      <c r="G21" t="s">
        <v>202</v>
      </c>
      <c r="H21" t="str" cm="1">
        <f t="array" ref="H21">IFERROR(_xlfn.TEXTJOIN(CHAR(10),TRUE,_xlfn._xlws.FILTER('Company Ratings'!$C$2:$C$1000&amp;" — "&amp;'Company Ratings'!$D$2:$D$1000,'Company Ratings'!$A$2:$A$1000=TRIM(C21))),"No matching rating — verify")</f>
        <v>No matching rating — verify</v>
      </c>
    </row>
    <row r="22" spans="1:8" x14ac:dyDescent="0.25">
      <c r="A22" t="s">
        <v>28</v>
      </c>
      <c r="B22" t="s">
        <v>66</v>
      </c>
      <c r="C22" t="s">
        <v>45</v>
      </c>
      <c r="D22" t="s">
        <v>162</v>
      </c>
      <c r="E22" t="s">
        <v>67</v>
      </c>
      <c r="F22" t="s">
        <v>163</v>
      </c>
      <c r="G22" t="s">
        <v>203</v>
      </c>
      <c r="H22" t="str" cm="1">
        <f t="array" ref="H22">IFERROR(_xlfn.TEXTJOIN(CHAR(10),TRUE,_xlfn._xlws.FILTER('Company Ratings'!$C$2:$C$1000&amp;" — "&amp;'Company Ratings'!$D$2:$D$1000,'Company Ratings'!$A$2:$A$1000=TRIM(C22))),"No matching rating — verify")</f>
        <v>Google rating reported by Localo — 4.9/5</v>
      </c>
    </row>
    <row r="23" spans="1:8" x14ac:dyDescent="0.25">
      <c r="A23" t="s">
        <v>32</v>
      </c>
      <c r="B23" t="s">
        <v>66</v>
      </c>
      <c r="C23" t="s">
        <v>68</v>
      </c>
      <c r="D23" t="s">
        <v>204</v>
      </c>
      <c r="E23" t="s">
        <v>69</v>
      </c>
      <c r="F23" t="s">
        <v>205</v>
      </c>
      <c r="G23" t="s">
        <v>206</v>
      </c>
      <c r="H23" t="str" cm="1">
        <f t="array" ref="H23">IFERROR(_xlfn.TEXTJOIN(CHAR(10),TRUE,_xlfn._xlws.FILTER('Company Ratings'!$C$2:$C$1000&amp;" — "&amp;'Company Ratings'!$D$2:$D$1000,'Company Ratings'!$A$2:$A$1000=TRIM(C23))),"No matching rating — verify")</f>
        <v>No matching rating — verify</v>
      </c>
    </row>
    <row r="24" spans="1:8" x14ac:dyDescent="0.25">
      <c r="A24" t="s">
        <v>28</v>
      </c>
      <c r="B24" t="s">
        <v>66</v>
      </c>
      <c r="C24" t="s">
        <v>70</v>
      </c>
      <c r="D24" t="s">
        <v>207</v>
      </c>
      <c r="E24" t="s">
        <v>71</v>
      </c>
      <c r="F24" t="s">
        <v>208</v>
      </c>
      <c r="G24" t="s">
        <v>209</v>
      </c>
      <c r="H24" t="str" cm="1">
        <f t="array" ref="H24">IFERROR(_xlfn.TEXTJOIN(CHAR(10),TRUE,_xlfn._xlws.FILTER('Company Ratings'!$C$2:$C$1000&amp;" — "&amp;'Company Ratings'!$D$2:$D$1000,'Company Ratings'!$A$2:$A$1000=TRIM(C24))),"No matching rating — verify")</f>
        <v>No matching rating — verify</v>
      </c>
    </row>
    <row r="25" spans="1:8" x14ac:dyDescent="0.25">
      <c r="A25" t="s">
        <v>28</v>
      </c>
      <c r="B25" t="s">
        <v>66</v>
      </c>
      <c r="C25" t="s">
        <v>52</v>
      </c>
      <c r="D25" t="s">
        <v>210</v>
      </c>
      <c r="E25" t="s">
        <v>53</v>
      </c>
      <c r="F25" t="s">
        <v>211</v>
      </c>
      <c r="G25" t="s">
        <v>212</v>
      </c>
      <c r="H25" t="str" cm="1">
        <f t="array" ref="H25">IFERROR(_xlfn.TEXTJOIN(CHAR(10),TRUE,_xlfn._xlws.FILTER('Company Ratings'!$C$2:$C$1000&amp;" — "&amp;'Company Ratings'!$D$2:$D$1000,'Company Ratings'!$A$2:$A$1000=TRIM(C25))),"No matching rating — verify")</f>
        <v>Official website — Not verified</v>
      </c>
    </row>
    <row r="26" spans="1:8" x14ac:dyDescent="0.25">
      <c r="A26" t="s">
        <v>28</v>
      </c>
      <c r="B26" t="s">
        <v>29</v>
      </c>
      <c r="C26" t="s">
        <v>72</v>
      </c>
      <c r="D26" t="s">
        <v>145</v>
      </c>
      <c r="E26" t="s">
        <v>73</v>
      </c>
      <c r="F26" t="s">
        <v>149</v>
      </c>
      <c r="G26" t="s">
        <v>213</v>
      </c>
      <c r="H26" t="str" cm="1">
        <f t="array" ref="H26">IFERROR(_xlfn.TEXTJOIN(CHAR(10),TRUE,_xlfn._xlws.FILTER('Company Ratings'!$C$2:$C$1000&amp;" — "&amp;'Company Ratings'!$D$2:$D$1000,'Company Ratings'!$A$2:$A$1000=TRIM(C26))),"No matching rating — verify")</f>
        <v>No matching rating — verify</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1F19B-DD52-49F3-9CE8-0DCDB7C5C32F}">
  <dimension ref="A1:C15"/>
  <sheetViews>
    <sheetView workbookViewId="0">
      <selection sqref="A1:F15"/>
    </sheetView>
  </sheetViews>
  <sheetFormatPr defaultRowHeight="13.8" x14ac:dyDescent="0.25"/>
  <cols>
    <col min="1" max="1" width="50.796875" bestFit="1" customWidth="1"/>
    <col min="2" max="2" width="18.5" bestFit="1" customWidth="1"/>
    <col min="3" max="3" width="63.59765625" bestFit="1" customWidth="1"/>
  </cols>
  <sheetData>
    <row r="1" spans="1:3" x14ac:dyDescent="0.25">
      <c r="A1" t="s">
        <v>0</v>
      </c>
      <c r="B1" t="s">
        <v>1</v>
      </c>
      <c r="C1" t="s">
        <v>2</v>
      </c>
    </row>
    <row r="2" spans="1:3" x14ac:dyDescent="0.25">
      <c r="A2" t="s">
        <v>3</v>
      </c>
      <c r="B2" t="s">
        <v>4</v>
      </c>
      <c r="C2" t="s">
        <v>5</v>
      </c>
    </row>
    <row r="3" spans="1:3" x14ac:dyDescent="0.25">
      <c r="A3" t="s">
        <v>6</v>
      </c>
      <c r="B3" t="s">
        <v>4</v>
      </c>
      <c r="C3" t="s">
        <v>7</v>
      </c>
    </row>
    <row r="4" spans="1:3" x14ac:dyDescent="0.25">
      <c r="A4" t="s">
        <v>8</v>
      </c>
      <c r="B4" t="s">
        <v>4</v>
      </c>
      <c r="C4" t="s">
        <v>9</v>
      </c>
    </row>
    <row r="5" spans="1:3" x14ac:dyDescent="0.25">
      <c r="A5" t="s">
        <v>10</v>
      </c>
      <c r="B5" t="s">
        <v>4</v>
      </c>
      <c r="C5" t="s">
        <v>11</v>
      </c>
    </row>
    <row r="6" spans="1:3" x14ac:dyDescent="0.25">
      <c r="A6" t="s">
        <v>12</v>
      </c>
      <c r="B6" t="s">
        <v>4</v>
      </c>
      <c r="C6" t="s">
        <v>13</v>
      </c>
    </row>
    <row r="7" spans="1:3" x14ac:dyDescent="0.25">
      <c r="A7" t="s">
        <v>14</v>
      </c>
      <c r="B7" t="s">
        <v>4</v>
      </c>
      <c r="C7" t="s">
        <v>15</v>
      </c>
    </row>
    <row r="8" spans="1:3" x14ac:dyDescent="0.25">
      <c r="A8" t="s">
        <v>16</v>
      </c>
      <c r="B8" t="s">
        <v>4</v>
      </c>
      <c r="C8" t="s">
        <v>17</v>
      </c>
    </row>
    <row r="9" spans="1:3" x14ac:dyDescent="0.25">
      <c r="A9" t="s">
        <v>18</v>
      </c>
      <c r="B9" t="s">
        <v>4</v>
      </c>
      <c r="C9" t="s">
        <v>19</v>
      </c>
    </row>
    <row r="10" spans="1:3" x14ac:dyDescent="0.25">
      <c r="A10" t="s">
        <v>20</v>
      </c>
      <c r="B10" t="s">
        <v>4</v>
      </c>
      <c r="C10" t="s">
        <v>21</v>
      </c>
    </row>
    <row r="11" spans="1:3" x14ac:dyDescent="0.25">
      <c r="A11" t="s">
        <v>132</v>
      </c>
      <c r="B11" t="s">
        <v>4</v>
      </c>
      <c r="C11" t="s">
        <v>133</v>
      </c>
    </row>
    <row r="12" spans="1:3" x14ac:dyDescent="0.25">
      <c r="A12" t="s">
        <v>134</v>
      </c>
      <c r="B12" t="s">
        <v>4</v>
      </c>
      <c r="C12" t="s">
        <v>135</v>
      </c>
    </row>
    <row r="13" spans="1:3" x14ac:dyDescent="0.25">
      <c r="A13" t="s">
        <v>136</v>
      </c>
      <c r="B13" t="s">
        <v>4</v>
      </c>
      <c r="C13" t="s">
        <v>137</v>
      </c>
    </row>
    <row r="14" spans="1:3" x14ac:dyDescent="0.25">
      <c r="A14" t="s">
        <v>138</v>
      </c>
      <c r="B14" t="s">
        <v>4</v>
      </c>
      <c r="C14" t="s">
        <v>139</v>
      </c>
    </row>
    <row r="15" spans="1:3" x14ac:dyDescent="0.25">
      <c r="A15" t="s">
        <v>140</v>
      </c>
      <c r="B15" t="s">
        <v>4</v>
      </c>
      <c r="C15"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Company Ratings</vt:lpstr>
      <vt:lpstr>Course Register</vt:lpstr>
      <vt:lpstr>Verification 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Palanikumar Raman</dc:creator>
  <cp:lastModifiedBy>Palanikumar Raman</cp:lastModifiedBy>
  <dcterms:created xsi:type="dcterms:W3CDTF">2026-10-26T04:47:36Z</dcterms:created>
  <dcterms:modified xsi:type="dcterms:W3CDTF">2026-10-26T06:46:39Z</dcterms:modified>
</cp:coreProperties>
</file>